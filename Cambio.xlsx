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s\Downloads\"/>
    </mc:Choice>
  </mc:AlternateContent>
  <xr:revisionPtr revIDLastSave="0" documentId="8_{B56FFFDF-C844-4237-A57E-95DEBCEBE392}" xr6:coauthVersionLast="47" xr6:coauthVersionMax="47" xr10:uidLastSave="{00000000-0000-0000-0000-000000000000}"/>
  <bookViews>
    <workbookView xWindow="-120" yWindow="-120" windowWidth="20730" windowHeight="11040" xr2:uid="{3461E7CA-51B6-4712-93F6-313BC4E0FA22}"/>
  </bookViews>
  <sheets>
    <sheet name="CÂMBIO" sheetId="1" r:id="rId1"/>
  </sheets>
  <definedNames>
    <definedName name="_xlnm.Print_Area" localSheetId="0">CÂMBIO!$A$1:$G$17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D15" i="1"/>
  <c r="D14" i="1"/>
  <c r="D13" i="1"/>
  <c r="G12" i="1"/>
  <c r="D12" i="1"/>
  <c r="G11" i="1"/>
  <c r="E11" i="1"/>
  <c r="D11" i="1"/>
  <c r="C11" i="1" s="1"/>
  <c r="G10" i="1"/>
  <c r="E10" i="1"/>
  <c r="D10" i="1" s="1"/>
  <c r="C10" i="1" s="1"/>
  <c r="D9" i="1"/>
  <c r="E9" i="1" s="1"/>
  <c r="F9" i="1" s="1"/>
  <c r="G9" i="1" s="1"/>
  <c r="E8" i="1"/>
  <c r="F8" i="1" s="1"/>
  <c r="G8" i="1" s="1"/>
  <c r="D8" i="1"/>
  <c r="D7" i="1"/>
  <c r="E7" i="1" s="1"/>
  <c r="F7" i="1" s="1"/>
  <c r="G7" i="1" s="1"/>
  <c r="D6" i="1"/>
  <c r="E6" i="1" s="1"/>
  <c r="F6" i="1" s="1"/>
  <c r="G6" i="1" s="1"/>
  <c r="D5" i="1"/>
  <c r="E5" i="1" s="1"/>
  <c r="F5" i="1" s="1"/>
  <c r="G5" i="1" s="1"/>
  <c r="D4" i="1"/>
  <c r="D16" i="1" l="1"/>
  <c r="E4" i="1"/>
  <c r="F4" i="1" s="1"/>
  <c r="G4" i="1"/>
  <c r="C16" i="1" a="1"/>
  <c r="C16" i="1" s="1"/>
  <c r="E13" i="1"/>
  <c r="F13" i="1" s="1"/>
  <c r="E14" i="1"/>
  <c r="F14" i="1" s="1"/>
  <c r="G14" i="1" s="1"/>
  <c r="E15" i="1"/>
  <c r="F15" i="1" s="1"/>
  <c r="G15" i="1" s="1"/>
  <c r="G13" i="1" l="1"/>
  <c r="G16" i="1" s="1" a="1"/>
  <c r="G16" i="1" s="1"/>
  <c r="F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<sst xmlns="http://schemas.openxmlformats.org/spreadsheetml/2006/main" count="9" uniqueCount="9">
  <si>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DATA</t>
  </si>
  <si>
    <t>US$</t>
  </si>
  <si>
    <t>Taxa Cambial</t>
  </si>
  <si>
    <t>R$</t>
  </si>
  <si>
    <t>IOF</t>
  </si>
  <si>
    <t>TOTAL</t>
  </si>
  <si>
    <t>Taxa Efetiva</t>
  </si>
  <si>
    <t>Total</t>
  </si>
  <si>
    <t>CONTROLE DE CÂMBIO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</si>
</sst>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6" formatCode="0.0000000"/>
    <numFmt numFmtId="167" formatCode="0.000000000"/>
    <numFmt numFmtId="168" formatCode="0.0%"/>
    <numFmt numFmtId="169" formatCode="_-* #,##0.000_-;\-* #,##0.000_-;_-* &quot;-&quot;??_-;_-@_-"/>
    <numFmt numFmtId="170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0" fillId="0" borderId="0" xfId="3" applyNumberFormat="1" applyFont="1"/>
    <xf numFmtId="0" fontId="0" fillId="0" borderId="2" xfId="0" applyBorder="1"/>
    <xf numFmtId="166" fontId="0" fillId="0" borderId="2" xfId="0" applyNumberFormat="1" applyBorder="1" applyAlignment="1">
      <alignment horizontal="center"/>
    </xf>
    <xf numFmtId="165" fontId="0" fillId="0" borderId="2" xfId="0" applyNumberFormat="1" applyBorder="1"/>
    <xf numFmtId="167" fontId="0" fillId="0" borderId="2" xfId="0" applyNumberFormat="1" applyBorder="1" applyAlignment="1">
      <alignment horizontal="center"/>
    </xf>
    <xf numFmtId="0" fontId="0" fillId="0" borderId="3" xfId="0" applyBorder="1"/>
    <xf numFmtId="164" fontId="0" fillId="0" borderId="4" xfId="0" applyNumberFormat="1" applyBorder="1"/>
    <xf numFmtId="169" fontId="3" fillId="0" borderId="5" xfId="1" applyNumberFormat="1" applyFont="1" applyBorder="1" applyAlignment="1">
      <alignment horizontal="center"/>
    </xf>
    <xf numFmtId="165" fontId="0" fillId="0" borderId="4" xfId="0" applyNumberFormat="1" applyBorder="1"/>
    <xf numFmtId="0" fontId="0" fillId="0" borderId="5" xfId="0" applyBorder="1"/>
    <xf numFmtId="44" fontId="3" fillId="2" borderId="4" xfId="2" applyFont="1" applyFill="1" applyBorder="1"/>
    <xf numFmtId="170" fontId="3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22A6-FE3B-468E-8ABC-4E8085A52FD8}">
  <dimension ref="A1:I17"/>
  <sheetViews>
    <sheetView tabSelected="1" workbookViewId="0">
      <selection activeCell="A2" sqref="A2"/>
    </sheetView>
  </sheetViews>
  <sheetFormatPr defaultRowHeight="15" x14ac:dyDescent="0.25"/>
  <cols>
    <col min="1" max="1" width="10.7109375" bestFit="1" customWidth="1"/>
    <col min="2" max="2" width="12.28515625" bestFit="1" customWidth="1"/>
    <col min="3" max="3" width="12.5703125" bestFit="1" customWidth="1"/>
    <col min="4" max="4" width="15.85546875" bestFit="1" customWidth="1"/>
    <col min="5" max="5" width="14.28515625" bestFit="1" customWidth="1"/>
    <col min="6" max="6" width="16.42578125" bestFit="1" customWidth="1"/>
    <col min="7" max="7" width="12.7109375" customWidth="1"/>
  </cols>
  <sheetData>
    <row r="1" spans="1:9" x14ac:dyDescent="0.25">
      <c r="A1" s="1" t="s">
        <v>8</v>
      </c>
    </row>
    <row r="3" spans="1:9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9" x14ac:dyDescent="0.25">
      <c r="A4" s="4">
        <v>45028</v>
      </c>
      <c r="B4" s="5">
        <v>45000</v>
      </c>
      <c r="C4" s="6">
        <v>4.9712325000000002</v>
      </c>
      <c r="D4" s="7">
        <f>B4*C4</f>
        <v>223705.46249999999</v>
      </c>
      <c r="E4" s="7">
        <f>1.1%*D4</f>
        <v>2460.7600875000003</v>
      </c>
      <c r="F4" s="7">
        <f>+D4+E4</f>
        <v>226166.2225875</v>
      </c>
      <c r="G4" s="6">
        <f>+F4/B4</f>
        <v>5.0259160574999999</v>
      </c>
    </row>
    <row r="5" spans="1:9" x14ac:dyDescent="0.25">
      <c r="A5" s="4">
        <v>45044</v>
      </c>
      <c r="B5" s="5">
        <v>25000</v>
      </c>
      <c r="C5" s="8">
        <v>5.0189700000000004</v>
      </c>
      <c r="D5" s="7">
        <f>B5*C5</f>
        <v>125474.25000000001</v>
      </c>
      <c r="E5" s="7">
        <f>1.1%*D5</f>
        <v>1380.2167500000003</v>
      </c>
      <c r="F5" s="7">
        <f>+D5+E5</f>
        <v>126854.46675000002</v>
      </c>
      <c r="G5" s="6">
        <f>+F5/B5</f>
        <v>5.0741786700000011</v>
      </c>
    </row>
    <row r="6" spans="1:9" x14ac:dyDescent="0.25">
      <c r="A6" s="4">
        <v>45063</v>
      </c>
      <c r="B6" s="5">
        <v>50000</v>
      </c>
      <c r="C6" s="8">
        <v>4.9737450000000001</v>
      </c>
      <c r="D6" s="7">
        <f t="shared" ref="D6:D15" si="0">B6*C6</f>
        <v>248687.25</v>
      </c>
      <c r="E6" s="7">
        <f t="shared" ref="E6:E15" si="1">1.1%*D6</f>
        <v>2735.5597500000003</v>
      </c>
      <c r="F6" s="7">
        <f t="shared" ref="F6:F15" si="2">+D6+E6</f>
        <v>251422.80975000001</v>
      </c>
      <c r="G6" s="6">
        <f>IF(F6=0,0,F6/B6)</f>
        <v>5.0284561950000004</v>
      </c>
    </row>
    <row r="7" spans="1:9" x14ac:dyDescent="0.25">
      <c r="A7" s="4">
        <v>45084</v>
      </c>
      <c r="B7" s="5">
        <v>100000</v>
      </c>
      <c r="C7" s="8">
        <v>4.9410825000000003</v>
      </c>
      <c r="D7" s="7">
        <f t="shared" si="0"/>
        <v>494108.25</v>
      </c>
      <c r="E7" s="7">
        <f t="shared" si="1"/>
        <v>5435.1907500000007</v>
      </c>
      <c r="F7" s="7">
        <f t="shared" si="2"/>
        <v>499543.44075000001</v>
      </c>
      <c r="G7" s="6">
        <f t="shared" ref="G7:G15" si="3">IF(F7=0,0,F7/B7)</f>
        <v>4.9954344075000003</v>
      </c>
    </row>
    <row r="8" spans="1:9" x14ac:dyDescent="0.25">
      <c r="A8" s="4">
        <v>45096</v>
      </c>
      <c r="B8" s="5">
        <v>50000</v>
      </c>
      <c r="C8" s="8">
        <v>4.8070000000000004</v>
      </c>
      <c r="D8" s="7">
        <f t="shared" si="0"/>
        <v>240350.00000000003</v>
      </c>
      <c r="E8" s="7">
        <f t="shared" si="1"/>
        <v>2643.8500000000004</v>
      </c>
      <c r="F8" s="7">
        <f t="shared" si="2"/>
        <v>242993.85000000003</v>
      </c>
      <c r="G8" s="9">
        <f t="shared" si="3"/>
        <v>4.8598770000000009</v>
      </c>
    </row>
    <row r="9" spans="1:9" x14ac:dyDescent="0.25">
      <c r="A9" s="4">
        <v>45303</v>
      </c>
      <c r="B9" s="5">
        <v>10000</v>
      </c>
      <c r="C9" s="8">
        <v>4.8825510000000003</v>
      </c>
      <c r="D9" s="7">
        <f t="shared" si="0"/>
        <v>48825.51</v>
      </c>
      <c r="E9" s="7">
        <f t="shared" si="1"/>
        <v>537.08061000000009</v>
      </c>
      <c r="F9" s="7">
        <f t="shared" si="2"/>
        <v>49362.590609999999</v>
      </c>
      <c r="G9" s="9">
        <f t="shared" si="3"/>
        <v>4.9362590610000003</v>
      </c>
      <c r="I9" s="10"/>
    </row>
    <row r="10" spans="1:9" x14ac:dyDescent="0.25">
      <c r="A10" s="4">
        <v>45695</v>
      </c>
      <c r="B10" s="5">
        <v>5000</v>
      </c>
      <c r="C10" s="8">
        <f>+D10/B10</f>
        <v>5.845943396</v>
      </c>
      <c r="D10" s="7">
        <f>+F10-E10</f>
        <v>29229.716980000001</v>
      </c>
      <c r="E10" s="7">
        <f>+F10*1.1%</f>
        <v>325.10302000000001</v>
      </c>
      <c r="F10" s="7">
        <v>29554.82</v>
      </c>
      <c r="G10" s="9">
        <f t="shared" si="3"/>
        <v>5.9109639999999999</v>
      </c>
    </row>
    <row r="11" spans="1:9" x14ac:dyDescent="0.25">
      <c r="A11" s="4">
        <v>45707</v>
      </c>
      <c r="B11" s="5">
        <v>5000</v>
      </c>
      <c r="C11" s="8">
        <f>+D11/B11</f>
        <v>5.7559523079999995</v>
      </c>
      <c r="D11" s="7">
        <f>+F11-E11</f>
        <v>28779.76154</v>
      </c>
      <c r="E11" s="7">
        <f>+F11*1.1%</f>
        <v>320.09846000000005</v>
      </c>
      <c r="F11" s="7">
        <v>29099.86</v>
      </c>
      <c r="G11" s="9">
        <f t="shared" si="3"/>
        <v>5.8199719999999999</v>
      </c>
    </row>
    <row r="12" spans="1:9" x14ac:dyDescent="0.25">
      <c r="A12" s="4">
        <v>45912</v>
      </c>
      <c r="B12" s="5">
        <v>10000</v>
      </c>
      <c r="C12" s="8">
        <v>5.4124999999999996</v>
      </c>
      <c r="D12" s="7">
        <f>+F12-E12</f>
        <v>54125</v>
      </c>
      <c r="E12" s="7">
        <v>595.38</v>
      </c>
      <c r="F12" s="7">
        <v>54720.38</v>
      </c>
      <c r="G12" s="9">
        <f t="shared" si="3"/>
        <v>5.4720379999999995</v>
      </c>
    </row>
    <row r="13" spans="1:9" x14ac:dyDescent="0.25">
      <c r="A13" s="4">
        <v>45917</v>
      </c>
      <c r="B13" s="5">
        <v>1500</v>
      </c>
      <c r="C13" s="8">
        <v>5.3455000000000004</v>
      </c>
      <c r="D13" s="7">
        <f t="shared" si="0"/>
        <v>8018.2500000000009</v>
      </c>
      <c r="E13" s="7">
        <f t="shared" si="1"/>
        <v>88.200750000000014</v>
      </c>
      <c r="F13" s="7">
        <f t="shared" si="2"/>
        <v>8106.4507500000009</v>
      </c>
      <c r="G13" s="9">
        <f t="shared" si="3"/>
        <v>5.4043005000000006</v>
      </c>
    </row>
    <row r="14" spans="1:9" x14ac:dyDescent="0.25">
      <c r="A14" s="4">
        <v>46041</v>
      </c>
      <c r="B14" s="5">
        <v>200000</v>
      </c>
      <c r="C14" s="8">
        <v>5.4180000000000001</v>
      </c>
      <c r="D14" s="7">
        <f t="shared" si="0"/>
        <v>1083600</v>
      </c>
      <c r="E14" s="7">
        <f t="shared" si="1"/>
        <v>11919.6</v>
      </c>
      <c r="F14" s="7">
        <f t="shared" si="2"/>
        <v>1095519.6000000001</v>
      </c>
      <c r="G14" s="9">
        <f t="shared" si="3"/>
        <v>5.4775980000000004</v>
      </c>
    </row>
    <row r="15" spans="1:9" ht="15.75" thickBot="1" x14ac:dyDescent="0.3">
      <c r="A15" s="11"/>
      <c r="B15" s="11"/>
      <c r="C15" s="12"/>
      <c r="D15" s="13">
        <f t="shared" si="0"/>
        <v>0</v>
      </c>
      <c r="E15" s="13">
        <f t="shared" si="1"/>
        <v>0</v>
      </c>
      <c r="F15" s="13">
        <f t="shared" si="2"/>
        <v>0</v>
      </c>
      <c r="G15" s="14">
        <f t="shared" si="3"/>
        <v>0</v>
      </c>
    </row>
    <row r="16" spans="1:9" ht="15.75" thickBot="1" x14ac:dyDescent="0.3">
      <c r="A16" s="15" t="s">
        <v>7</v>
      </c>
      <c r="B16" s="16">
        <f>SUM(B4:B15)</f>
        <v>501500</v>
      </c>
      <c r="C16" s="17" cm="1">
        <f t="array" ref="C16">SUMPRODUCT(B4:B14*C4:C14)/B16</f>
        <v>5.1543438704287139</v>
      </c>
      <c r="D16" s="18">
        <f>SUM(D4:D15)</f>
        <v>2584903.45102</v>
      </c>
      <c r="E16" s="19"/>
      <c r="F16" s="20">
        <f>SUM(F4:F15)</f>
        <v>2613344.4911975004</v>
      </c>
      <c r="G16" s="21" cm="1">
        <f t="array" ref="G16">SUMPRODUCT(B4:B14*G4:G14)/B16</f>
        <v>5.21105581495015</v>
      </c>
    </row>
    <row r="17" spans="3:3" x14ac:dyDescent="0.25">
      <c r="C17" s="22"/>
    </row>
  </sheetData>
  <pageMargins left="0.51181102362204722" right="0.51181102362204722" top="0.78740157480314965" bottom="0.78740157480314965" header="0.31496062992125984" footer="0.31496062992125984"/>
  <pageSetup paperSize="9" scale="1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CÂMBIO</vt:lpstr>
      <vt:lpstr>CÂMBIO!Area_de_impressao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Juca</dc:creator>
  <cp:lastModifiedBy>Marcos Juca</cp:lastModifiedBy>
  <dcterms:created xsi:type="dcterms:W3CDTF">2026-04-30T20:19:46Z</dcterms:created>
  <dcterms:modified xsi:type="dcterms:W3CDTF">2026-04-30T20:20:38Z</dcterms:modified>
</cp:coreProperties>
</file>